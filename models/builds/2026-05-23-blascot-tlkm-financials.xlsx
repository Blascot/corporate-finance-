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shidler\docs\templates\spreadsheets\"/>
    </mc:Choice>
  </mc:AlternateContent>
  <xr:revisionPtr revIDLastSave="0" documentId="11_C2087B7F3B7CCEACD4328DE2D1E5418A185D2F1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<sst xmlns="http://schemas.openxmlformats.org/spreadsheetml/2006/main" count="337" uniqueCount="322">
  <si>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</si>
  <si>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</si>
  <si>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</si>
  <si>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</si>
  <si>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</si>
  <si>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</si>
  <si>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</si>
  <si>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</si>
  <si>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</si>
  <si>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</si>
  <si>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</si>
  <si>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</si>
  <si>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</si>
  <si>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</si>
  <si>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</si>
  <si>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</si>
  <si>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</si>
  <si>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</si>
  <si>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</si>
  <si>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</si>
  <si>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</si>
  <si>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</si>
  <si>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</si>
  <si>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</si>
  <si>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</si>
  <si>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</si>
  <si>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</si>
  <si>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</si>
  <si>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</si>
  <si>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</si>
  <si>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</si>
  <si>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</si>
  <si>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</si>
  <si>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</si>
  <si>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</si>
  <si>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</si>
  <si>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</si>
  <si>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</si>
  <si>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</si>
  <si>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</si>
  <si>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</si>
  <si>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</si>
  <si>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</si>
  <si>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</si>
  <si>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</si>
  <si>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</si>
  <si>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</si>
  <si>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</si>
  <si>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</si>
  <si>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</si>
  <si>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</si>
  <si>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</si>
  <si>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</si>
  <si>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</si>
  <si>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</si>
  <si>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</si>
  <si>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</si>
  <si>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</si>
  <si>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</si>
  <si>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</si>
  <si>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</si>
  <si>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</si>
  <si>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</si>
  <si>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</si>
  <si>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</si>
  <si>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</si>
  <si>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</si>
  <si>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</si>
  <si>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</si>
  <si>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</si>
  <si>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</si>
  <si>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</si>
  <si>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</si>
  <si>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</si>
  <si>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</si>
  <si>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</si>
  <si>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</si>
  <si>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</si>
  <si>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</si>
  <si>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</si>
  <si>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</si>
  <si>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</si>
  <si>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</si>
  <si>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</si>
  <si>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</si>
  <si>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</si>
  <si>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</si>
  <si>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</si>
  <si>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</si>
  <si>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</si>
  <si>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</si>
  <si>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</si>
  <si>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</si>
  <si>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</si>
  <si>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</si>
  <si>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</si>
  <si>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</si>
  <si>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</si>
  <si>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</si>
  <si>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</si>
  <si>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</si>
  <si>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</si>
  <si>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</si>
  <si>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</si>
  <si>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</si>
  <si>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</si>
  <si>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</si>
  <si>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</si>
  <si>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</si>
  <si>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</si>
  <si>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</si>
  <si>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</si>
  <si>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</si>
  <si>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</si>
  <si>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</si>
  <si>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</si>
  <si>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</si>
  <si>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</si>
  <si>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</si>
  <si>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</si>
  <si>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</si>
  <si>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</si>
  <si>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</si>
  <si>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</si>
  <si>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</si>
  <si>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</si>
  <si>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</si>
  <si>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</si>
  <si>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</si>
  <si>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</si>
  <si>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</si>
  <si>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</si>
  <si>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</si>
  <si>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</si>
  <si>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</si>
  <si>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</si>
  <si>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</si>
  <si>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</si>
  <si>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</si>
  <si>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</si>
  <si>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</si>
  <si>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</si>
  <si>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</si>
  <si>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</si>
  <si>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</si>
  <si>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</si>
  <si>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</si>
  <si>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</si>
  <si>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</si>
  <si>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</si>
  <si>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</si>
  <si>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</si>
  <si>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</si>
  <si>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</si>
  <si>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</si>
  <si>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</si>
  <si>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</si>
  <si>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</si>
  <si>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</si>
  <si>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</si>
  <si>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</si>
  <si>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</si>
  <si>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</si>
  <si>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</si>
  <si>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</si>
  <si>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</si>
  <si>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</si>
  <si>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</si>
  <si>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</si>
  <si>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</si>
  <si>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</si>
  <si>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</si>
  <si>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</si>
  <si>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</si>
  <si>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</si>
  <si>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</si>
  <si>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</si>
  <si>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</si>
  <si>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</si>
  <si>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</si>
  <si>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</si>
  <si>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</si>
  <si>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</si>
  <si>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</si>
  <si>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</si>
  <si>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</si>
  <si>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</si>
  <si>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</si>
  <si>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</si>
  <si>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</si>
  <si>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</si>
  <si>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</si>
  <si>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</si>
  <si>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</si>
  <si>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</si>
  <si>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</si>
  <si>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</si>
  <si>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</si>
  <si>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</si>
  <si>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</si>
  <si>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</si>
  <si>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</si>
  <si>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</si>
  <si>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</si>
  <si>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</si>
  <si>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</si>
  <si>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</si>
  <si>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</si>
  <si>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</si>
  <si>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</si>
  <si>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</si>
  <si>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</si>
  <si>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</si>
  <si>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</si>
  <si>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</si>
  <si>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</si>
  <si>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</si>
  <si>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</si>
  <si>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</si>
  <si>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</si>
  <si>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</si>
  <si>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</si>
  <si>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</si>
  <si>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</si>
  <si>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</si>
  <si>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</si>
  <si>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</si>
  <si>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</si>
  <si>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</si>
  <si>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</si>
  <si>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</si>
  <si>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</si>
  <si>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</si>
  <si>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</si>
  <si>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</si>
  <si>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</si>
  <si>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</si>
  <si>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</si>
  <si>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</si>
  <si>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</si>
  <si>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</si>
  <si>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</si>
  <si>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</si>
  <si>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</si>
  <si>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</si>
  <si>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</si>
  <si>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</si>
  <si>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</si>
  <si>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</si>
  <si>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</si>
  <si>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</si>
  <si>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</si>
  <si>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</si>
  <si>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</si>
  <si>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</si>
  <si>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</si>
  <si>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</si>
  <si>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</si>
  <si>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</si>
  <si>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</si>
  <si>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</si>
  <si>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</si>
  <si>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</si>
  <si>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</si>
  <si>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</si>
  <si>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</si>
  <si>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</si>
  <si>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</si>
  <si>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</si>
  <si>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</si>
  <si>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</si>
  <si>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</si>
  <si>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</si>
  <si>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</si>
  <si>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</si>
  <si>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</si>
  <si>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</si>
  <si>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</si>
  <si>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</si>
  <si>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</si>
  <si>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</si>
  <si>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</si>
  <si>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</si>
  <si>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</si>
  <si>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</si>
  <si>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</si>
  <si>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</si>
  <si>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</si>
  <si>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[Your Company Name]</t>
  </si>
  <si>
    <t>Ticker</t>
  </si>
  <si>
    <t>[TICKER]</t>
  </si>
  <si>
    <t>Industry</t>
  </si>
  <si>
    <t>[Industry]</t>
  </si>
  <si>
    <t>Fiscal Year (current)</t>
  </si>
  <si>
    <t>[FYYYYY]</t>
  </si>
  <si>
    <t>Fiscal Year (prior)</t>
  </si>
  <si>
    <t>Data Source</t>
  </si>
  <si>
    <t>[SEC EDGAR 10-K URL / Yahoo Finance / etc.]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</si>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</sst>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19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7" fillId="7" borderId="0" xfId="0" applyFont="1" applyFill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tabSelected="1" workbookViewId="0">
      <selection activeCell="B10" sqref="B10"/>
    </sheetView>
  </sheetViews>
  <sheetFormatPr defaultRowHeight="14.5" x14ac:dyDescent="0.3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35">
      <c r="B2" s="1"/>
      <c r="C2" s="1"/>
    </row>
    <row r="4" spans="2:3" x14ac:dyDescent="0.35">
      <c r="B4" s="51" t="s">
        <v>157</v>
      </c>
      <c r="C4" s="46"/>
    </row>
    <row r="5" spans="2:3" ht="26" customHeight="1" x14ac:dyDescent="0.7">
      <c r="B5" s="49" t="s">
        <v>158</v>
      </c>
      <c r="C5" s="46"/>
    </row>
    <row r="6" spans="2:3" ht="18" customHeight="1" x14ac:dyDescent="0.5">
      <c r="B6" s="47" t="s">
        <v>159</v>
      </c>
      <c r="C6" s="46"/>
    </row>
    <row r="7" spans="2:3" ht="4" customHeight="1" x14ac:dyDescent="0.35">
      <c r="B7" s="2"/>
      <c r="C7" s="2"/>
    </row>
    <row r="9" spans="2:3" ht="19.5" customHeight="1" x14ac:dyDescent="0.55000000000000004">
      <c r="B9" s="48" t="s">
        <v>160</v>
      </c>
      <c r="C9" s="46"/>
    </row>
    <row r="10" spans="2:3" ht="18" customHeight="1" x14ac:dyDescent="0.35">
      <c r="B10" s="3" t="s">
        <v>161</v>
      </c>
      <c r="C10" s="4" t="s">
        <v>162</v>
      </c>
    </row>
    <row r="11" spans="2:3" ht="18" customHeight="1" x14ac:dyDescent="0.35">
      <c r="B11" s="3" t="s">
        <v>163</v>
      </c>
      <c r="C11" s="4" t="s">
        <v>164</v>
      </c>
    </row>
    <row r="12" spans="2:3" ht="18" customHeight="1" x14ac:dyDescent="0.35">
      <c r="B12" s="3" t="s">
        <v>165</v>
      </c>
      <c r="C12" s="4" t="s">
        <v>166</v>
      </c>
    </row>
    <row r="13" spans="2:3" ht="18" customHeight="1" x14ac:dyDescent="0.35">
      <c r="B13" s="3" t="s">
        <v>167</v>
      </c>
      <c r="C13" s="4" t="s">
        <v>168</v>
      </c>
    </row>
    <row r="14" spans="2:3" ht="18" customHeight="1" x14ac:dyDescent="0.35">
      <c r="B14" s="3" t="s">
        <v>169</v>
      </c>
      <c r="C14" s="4" t="s">
        <v>170</v>
      </c>
    </row>
    <row r="15" spans="2:3" ht="18" customHeight="1" x14ac:dyDescent="0.35">
      <c r="B15" s="3" t="s">
        <v>171</v>
      </c>
      <c r="C15" s="4" t="s">
        <v>172</v>
      </c>
    </row>
    <row r="17" spans="2:3" ht="19.5" customHeight="1" x14ac:dyDescent="0.55000000000000004">
      <c r="B17" s="48" t="s">
        <v>173</v>
      </c>
      <c r="C17" s="46"/>
    </row>
    <row r="18" spans="2:3" ht="16.5" customHeight="1" x14ac:dyDescent="0.45">
      <c r="B18" s="5" t="s">
        <v>174</v>
      </c>
      <c r="C18" s="5" t="s">
        <v>175</v>
      </c>
    </row>
    <row r="19" spans="2:3" ht="30" customHeight="1" x14ac:dyDescent="0.4">
      <c r="B19" s="6" t="s">
        <v>176</v>
      </c>
      <c r="C19" s="7" t="s">
        <v>177</v>
      </c>
    </row>
    <row r="20" spans="2:3" ht="30" customHeight="1" x14ac:dyDescent="0.4">
      <c r="B20" s="8" t="s">
        <v>178</v>
      </c>
      <c r="C20" s="7" t="s">
        <v>179</v>
      </c>
    </row>
    <row r="21" spans="2:3" ht="30" customHeight="1" x14ac:dyDescent="0.4">
      <c r="B21" s="9" t="s">
        <v>180</v>
      </c>
      <c r="C21" s="7" t="s">
        <v>181</v>
      </c>
    </row>
    <row r="22" spans="2:3" ht="30" customHeight="1" x14ac:dyDescent="0.4">
      <c r="B22" s="10" t="s">
        <v>182</v>
      </c>
      <c r="C22" s="7" t="s">
        <v>183</v>
      </c>
    </row>
    <row r="24" spans="2:3" ht="19.5" customHeight="1" x14ac:dyDescent="0.55000000000000004">
      <c r="B24" s="48" t="s">
        <v>184</v>
      </c>
      <c r="C24" s="46"/>
    </row>
    <row r="25" spans="2:3" ht="16.5" customHeight="1" x14ac:dyDescent="0.45">
      <c r="B25" s="5" t="s">
        <v>185</v>
      </c>
      <c r="C25" s="5" t="s">
        <v>175</v>
      </c>
    </row>
    <row r="26" spans="2:3" ht="24" customHeight="1" x14ac:dyDescent="0.35">
      <c r="B26" s="11" t="s">
        <v>186</v>
      </c>
      <c r="C26" s="7" t="s">
        <v>187</v>
      </c>
    </row>
    <row r="27" spans="2:3" ht="24" customHeight="1" x14ac:dyDescent="0.35">
      <c r="B27" s="11" t="s">
        <v>188</v>
      </c>
      <c r="C27" s="7" t="s">
        <v>189</v>
      </c>
    </row>
    <row r="28" spans="2:3" ht="24" customHeight="1" x14ac:dyDescent="0.35">
      <c r="B28" s="11" t="s">
        <v>190</v>
      </c>
      <c r="C28" s="7" t="s">
        <v>191</v>
      </c>
    </row>
    <row r="29" spans="2:3" ht="24" customHeight="1" x14ac:dyDescent="0.35">
      <c r="B29" s="11" t="s">
        <v>192</v>
      </c>
      <c r="C29" s="7" t="s">
        <v>193</v>
      </c>
    </row>
    <row r="30" spans="2:3" ht="24" customHeight="1" x14ac:dyDescent="0.35">
      <c r="B30" s="11" t="s">
        <v>194</v>
      </c>
      <c r="C30" s="7" t="s">
        <v>195</v>
      </c>
    </row>
    <row r="31" spans="2:3" ht="24" customHeight="1" x14ac:dyDescent="0.35">
      <c r="B31" s="11" t="s">
        <v>196</v>
      </c>
      <c r="C31" s="7" t="s">
        <v>197</v>
      </c>
    </row>
    <row r="32" spans="2:3" ht="24" customHeight="1" x14ac:dyDescent="0.35">
      <c r="B32" s="11" t="s">
        <v>198</v>
      </c>
      <c r="C32" s="7" t="s">
        <v>199</v>
      </c>
    </row>
    <row r="33" spans="2:3" ht="24" customHeight="1" x14ac:dyDescent="0.35">
      <c r="B33" s="11" t="s">
        <v>200</v>
      </c>
      <c r="C33" s="7" t="s">
        <v>201</v>
      </c>
    </row>
    <row r="36" spans="2:3" ht="19.5" customHeight="1" x14ac:dyDescent="0.55000000000000004">
      <c r="B36" s="48" t="s">
        <v>202</v>
      </c>
      <c r="C36" s="46"/>
    </row>
    <row r="37" spans="2:3" ht="15" customHeight="1" x14ac:dyDescent="0.4">
      <c r="B37" s="12" t="s">
        <v>203</v>
      </c>
      <c r="C37" s="13" t="s">
        <v>204</v>
      </c>
    </row>
    <row r="38" spans="2:3" ht="15" customHeight="1" x14ac:dyDescent="0.4">
      <c r="B38" s="12" t="s">
        <v>205</v>
      </c>
      <c r="C38" s="13" t="s">
        <v>206</v>
      </c>
    </row>
    <row r="41" spans="2:3" x14ac:dyDescent="0.35">
      <c r="B41" s="50" t="s">
        <v>207</v>
      </c>
      <c r="C41" s="46"/>
    </row>
    <row r="44">
      <c r="B44" t="inlineStr">
        <is>
          <t>Stage 3 Source Documentation</t>
        </is>
      </c>
    </row>
    <row r="45">
      <c r="B45" t="inlineStr">
        <is>
          <t>Company</t>
        </is>
      </c>
      <c r="C45" t="inlineStr">
        <is>
          <t>PT Telkom Indonesia (Persero) Tbk (IDX: TLKM / NYSE: TLK)</t>
        </is>
      </c>
    </row>
    <row r="46">
      <c r="B46" t="inlineStr">
        <is>
          <t>Reporting standard</t>
        </is>
      </c>
      <c r="C46" t="inlineStr">
        <is>
          <t>Indonesian Financial Accounting Standards (PSAK), IFRS-converged; FY2024 restated per Note 2z.</t>
        </is>
      </c>
    </row>
    <row r="47">
      <c r="B47" t="inlineStr">
        <is>
          <t>Currency / units</t>
        </is>
      </c>
      <c r="C47" t="inlineStr">
        <is>
          <t>Rp billions unless otherwise noted; share price entered as Rp thousands per share.</t>
        </is>
      </c>
    </row>
    <row r="48">
      <c r="B48" t="inlineStr">
        <is>
          <t>Fiscal year end</t>
        </is>
      </c>
      <c r="C48" t="inlineStr">
        <is>
          <t>December 31, 2025 current year; December 31, 2024 prior/start year.</t>
        </is>
      </c>
    </row>
    <row r="49">
      <c r="B49" t="inlineStr">
        <is>
          <t>Primary source</t>
        </is>
      </c>
      <c r="C49" t="inlineStr">
        <is>
          <t>Official SEC Form 20-F / 10-K PDF provided locally: C:\Users\comic\OneDrive\Documents\TLKM10k.pdf. Financial statements extracted with pdftotext from consolidated statements of financial position, profit or loss, and cash flows.</t>
        </is>
      </c>
    </row>
    <row r="50">
      <c r="B50" t="inlineStr">
        <is>
          <t>Market assumptions</t>
        </is>
      </c>
      <c r="C50" t="inlineStr">
        <is>
          <t>Share price Rp3,480 on Dec. 30, 2025; shares 99,061.024659M; WACC 9.56%; effective tax rate 21.36%.</t>
        </is>
      </c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26" sqref="C26"/>
    </sheetView>
  </sheetViews>
  <sheetFormatPr defaultRowHeight="14.5" x14ac:dyDescent="0.3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6">
      <c r="B2" s="14" t="s">
        <v>208</v>
      </c>
    </row>
    <row r="3" spans="2:8" x14ac:dyDescent="0.35">
      <c r="B3" s="15" t="inlineStr">
        <is>
          <t>All figures in Rp billions unless otherwise noted</t>
        </is>
      </c>
    </row>
    <row r="5" spans="2:8" ht="16.5" customHeight="1" x14ac:dyDescent="0.45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4">
      <c r="B6" s="18" t="s">
        <v>214</v>
      </c>
      <c r="F6" s="18" t="s">
        <v>215</v>
      </c>
    </row>
    <row r="7" spans="2:8" ht="15" customHeight="1" x14ac:dyDescent="0.4">
      <c r="B7" s="12" t="s">
        <v>216</v>
      </c>
      <c r="C7" s="19">
        <v>35648</v>
      </c>
      <c r="D7" s="19">
        <v>35190</v>
      </c>
      <c r="F7" s="12" t="s">
        <v>217</v>
      </c>
      <c r="G7" s="19">
        <v>30265</v>
      </c>
      <c r="H7" s="19">
        <v>32882</v>
      </c>
    </row>
    <row r="8" spans="2:8" ht="15" customHeight="1" x14ac:dyDescent="0.4">
      <c r="B8" s="12" t="s">
        <v>218</v>
      </c>
      <c r="C8" s="19">
        <v>11223</v>
      </c>
      <c r="D8" s="19">
        <v>12193</v>
      </c>
      <c r="F8" s="12" t="s">
        <v>219</v>
      </c>
      <c r="G8" s="19">
        <v>16184</v>
      </c>
      <c r="H8" s="19">
        <v>15336</v>
      </c>
    </row>
    <row r="9" spans="2:8" ht="15" customHeight="1" x14ac:dyDescent="0.4">
      <c r="B9" s="12" t="s">
        <v>220</v>
      </c>
      <c r="C9" s="19">
        <v>901</v>
      </c>
      <c r="D9" s="19">
        <v>1096</v>
      </c>
      <c r="F9" s="12" t="s">
        <v>221</v>
      </c>
      <c r="G9" s="19">
        <v>27499</v>
      </c>
      <c r="H9" s="19">
        <v>28549</v>
      </c>
    </row>
    <row r="10" spans="2:8" ht="15" customHeight="1" x14ac:dyDescent="0.4">
      <c r="B10" s="12" t="s">
        <v>222</v>
      </c>
      <c r="C10" s="19">
        <v>13994</v>
      </c>
      <c r="D10" s="19">
        <v>14601</v>
      </c>
      <c r="F10" s="20" t="s">
        <v>223</v>
      </c>
      <c r="G10" s="21">
        <v>73948</v>
      </c>
      <c r="H10" s="21">
        <v>76767</v>
      </c>
    </row>
    <row r="11" spans="2:8" ht="15" customHeight="1" x14ac:dyDescent="0.4">
      <c r="B11" s="20" t="s">
        <v>224</v>
      </c>
      <c r="C11" s="21">
        <v>61766</v>
      </c>
      <c r="D11" s="21">
        <v>63080</v>
      </c>
    </row>
    <row r="12" spans="2:8" ht="15" customHeight="1" x14ac:dyDescent="0.4">
      <c r="F12" s="12" t="s">
        <v>60</v>
      </c>
      <c r="G12" s="19">
        <v>44646</v>
      </c>
      <c r="H12" s="19">
        <v>43986</v>
      </c>
    </row>
    <row r="13" spans="2:8" ht="15" customHeight="1" x14ac:dyDescent="0.4">
      <c r="B13" s="18" t="s">
        <v>225</v>
      </c>
      <c r="F13" s="12" t="s">
        <v>226</v>
      </c>
      <c r="G13" s="19">
        <v>18628</v>
      </c>
      <c r="H13" s="19">
        <v>16432</v>
      </c>
    </row>
    <row r="14" spans="2:8" ht="15" customHeight="1" x14ac:dyDescent="0.4">
      <c r="B14" s="12" t="s">
        <v>227</v>
      </c>
      <c r="C14" s="19">
        <v>405423</v>
      </c>
      <c r="D14" s="19">
        <v>388719</v>
      </c>
    </row>
    <row r="15" spans="2:8" ht="15" customHeight="1" x14ac:dyDescent="0.4">
      <c r="B15" s="12" t="s">
        <v>228</v>
      </c>
      <c r="C15" s="19">
        <v>239970</v>
      </c>
      <c r="D15" s="19">
        <v>218384</v>
      </c>
      <c r="F15" s="20" t="s">
        <v>229</v>
      </c>
      <c r="G15" s="21">
        <v>137222</v>
      </c>
      <c r="H15" s="21">
        <v>137185</v>
      </c>
    </row>
    <row r="16" spans="2:8" ht="15" customHeight="1" x14ac:dyDescent="0.4">
      <c r="B16" s="20" t="s">
        <v>230</v>
      </c>
      <c r="C16" s="21">
        <v>165453</v>
      </c>
      <c r="D16" s="21">
        <v>170335</v>
      </c>
    </row>
    <row r="17" spans="2:8" ht="15" customHeight="1" x14ac:dyDescent="0.4">
      <c r="F17" s="18" t="s">
        <v>231</v>
      </c>
    </row>
    <row r="18" spans="2:8" ht="15" customHeight="1" x14ac:dyDescent="0.4">
      <c r="B18" s="18" t="s">
        <v>232</v>
      </c>
      <c r="F18" s="12" t="s">
        <v>233</v>
      </c>
      <c r="G18" s="19">
        <v>37344</v>
      </c>
      <c r="H18" s="19">
        <v>37557</v>
      </c>
    </row>
    <row r="19" spans="2:8" ht="15" customHeight="1" x14ac:dyDescent="0.4">
      <c r="B19" s="12" t="s">
        <v>234</v>
      </c>
      <c r="C19" s="19">
        <v>9237</v>
      </c>
      <c r="D19" s="19">
        <v>9442</v>
      </c>
      <c r="F19" s="12" t="s">
        <v>235</v>
      </c>
      <c r="G19" s="19">
        <v>113193</v>
      </c>
      <c r="H19" s="19">
        <v>116647</v>
      </c>
    </row>
    <row r="20" spans="2:8" ht="15" customHeight="1" x14ac:dyDescent="0.4">
      <c r="B20" s="12" t="s">
        <v>236</v>
      </c>
      <c r="C20" s="19">
        <v>51303</v>
      </c>
      <c r="D20" s="19">
        <v>48532</v>
      </c>
      <c r="F20" s="20" t="s">
        <v>237</v>
      </c>
      <c r="G20" s="21">
        <v>150537</v>
      </c>
      <c r="H20" s="21">
        <v>154204</v>
      </c>
    </row>
    <row r="22" spans="2:8" ht="16.5" customHeight="1" x14ac:dyDescent="0.35"/>
    <row r="23" spans="2:8" ht="16.5" customHeight="1" x14ac:dyDescent="0.45">
      <c r="B23" s="5" t="s">
        <v>238</v>
      </c>
      <c r="C23" s="22">
        <v>287759</v>
      </c>
      <c r="D23" s="22">
        <v>291389</v>
      </c>
      <c r="F23" s="5" t="s">
        <v>239</v>
      </c>
      <c r="G23" s="22">
        <v>287759</v>
      </c>
      <c r="H23" s="22">
        <v>291389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6">
      <c r="B2" s="14" t="s">
        <v>240</v>
      </c>
    </row>
    <row r="3" spans="2:4" x14ac:dyDescent="0.35">
      <c r="B3" s="15" t="inlineStr">
        <is>
          <t>Current fiscal year 2025 - figures in Rp billions</t>
        </is>
      </c>
    </row>
    <row r="5" spans="2:4" ht="16.5" customHeight="1" x14ac:dyDescent="0.45">
      <c r="B5" s="23" t="s">
        <v>242</v>
      </c>
      <c r="C5" s="23" t="s">
        <v>243</v>
      </c>
      <c r="D5" s="23" t="s">
        <v>244</v>
      </c>
    </row>
    <row r="6" spans="2:4" ht="15" customHeight="1" x14ac:dyDescent="0.4">
      <c r="B6" s="12" t="s">
        <v>245</v>
      </c>
      <c r="C6" s="19">
        <v>146742</v>
      </c>
      <c r="D6" s="24">
        <v>1</v>
      </c>
    </row>
    <row r="7" spans="2:4" ht="15" customHeight="1" x14ac:dyDescent="0.4">
      <c r="B7" s="12" t="s">
        <v>246</v>
      </c>
      <c r="C7" s="19">
        <v>48252</v>
      </c>
      <c r="D7" s="25">
        <f>IFERROR(C7/$C$6,"")</f>
        <v>0.328822014147</v>
      </c>
    </row>
    <row r="8" spans="2:4" ht="15" customHeight="1" x14ac:dyDescent="0.4">
      <c r="B8" s="12" t="s">
        <v>247</v>
      </c>
      <c r="C8" s="19">
        <v>26193</v>
      </c>
      <c r="D8" s="25">
        <f>IFERROR(C8/$C$6,"")</f>
        <v>0.178496953837</v>
      </c>
    </row>
    <row r="9" spans="2:4" ht="15" customHeight="1" x14ac:dyDescent="0.4">
      <c r="B9" s="12" t="s">
        <v>248</v>
      </c>
      <c r="C9" s="19">
        <v>37649</v>
      </c>
      <c r="D9" s="25">
        <f>IFERROR(C9/$C$6,"")</f>
        <v>0.256565945673</v>
      </c>
    </row>
    <row r="10" spans="2:4" ht="15" customHeight="1" x14ac:dyDescent="0.4">
      <c r="B10" s="20" t="s">
        <v>249</v>
      </c>
      <c r="C10" s="21">
        <v>34648</v>
      </c>
      <c r="D10" s="25">
        <f>IFERROR(C10/$C$6,"")</f>
        <v>0.236115086342</v>
      </c>
    </row>
    <row r="11" spans="2:4" ht="15" customHeight="1" x14ac:dyDescent="0.4">
      <c r="B11" s="12" t="s">
        <v>250</v>
      </c>
      <c r="C11" s="19">
        <v>1660</v>
      </c>
      <c r="D11" s="25">
        <f>IFERROR(C11/$C$6,"")</f>
        <v>0.011312371373</v>
      </c>
    </row>
    <row r="12" spans="2:4" ht="15" customHeight="1" x14ac:dyDescent="0.4">
      <c r="B12" s="12" t="s">
        <v>251</v>
      </c>
      <c r="C12" s="19">
        <v>5206</v>
      </c>
      <c r="D12" s="25">
        <f>IFERROR(C12/$C$6,"")</f>
        <v>0.035477232149</v>
      </c>
    </row>
    <row r="13" spans="2:4" ht="15" customHeight="1" x14ac:dyDescent="0.4">
      <c r="B13" s="20" t="s">
        <v>252</v>
      </c>
      <c r="C13" s="21">
        <v>31102</v>
      </c>
      <c r="D13" s="25">
        <f>IFERROR(C13/$C$6,"")</f>
        <v>0.211950225566</v>
      </c>
    </row>
    <row r="14" spans="2:4" ht="15" customHeight="1" x14ac:dyDescent="0.4">
      <c r="B14" s="12" t="s">
        <v>253</v>
      </c>
      <c r="C14" s="19">
        <v>6644</v>
      </c>
      <c r="D14" s="25">
        <f>IFERROR(C14/$C$6,"")</f>
        <v>0.045276744218</v>
      </c>
    </row>
    <row r="15" spans="2:4" ht="16.5" customHeight="1" x14ac:dyDescent="0.45">
      <c r="B15" s="5" t="s">
        <v>254</v>
      </c>
      <c r="C15" s="22">
        <v>24458</v>
      </c>
      <c r="D15" s="26">
        <f>IFERROR(C15/$C$6,"")</f>
        <v>0.166673481348</v>
      </c>
    </row>
    <row r="17" spans="2:4" ht="15" customHeight="1" x14ac:dyDescent="0.4">
      <c r="B17" s="18" t="s">
        <v>255</v>
      </c>
    </row>
    <row r="18" spans="2:4" ht="15" customHeight="1" x14ac:dyDescent="0.4">
      <c r="B18" s="12" t="s">
        <v>256</v>
      </c>
      <c r="C18" s="19">
        <v>28406</v>
      </c>
      <c r="D18" s="25">
        <f>IFERROR(C18/$C$6,"")</f>
        <v>0.193577844107</v>
      </c>
    </row>
    <row r="19" spans="2:4" ht="15" customHeight="1" x14ac:dyDescent="0.4">
      <c r="B19" s="20" t="s">
        <v>257</v>
      </c>
      <c r="C19" s="21">
        <v>-3948</v>
      </c>
      <c r="D19" s="25">
        <f>IFERROR(C19/$C$6,"")</f>
        <v>-0.026904362759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6">
      <c r="B2" s="14" t="s">
        <v>258</v>
      </c>
    </row>
    <row r="3" spans="2:4" x14ac:dyDescent="0.35">
      <c r="B3" s="15" t="inlineStr">
        <is>
          <t>Current fiscal year 2025 - figures in Rp billions</t>
        </is>
      </c>
    </row>
    <row r="5" spans="2:4" ht="16.5" customHeight="1" x14ac:dyDescent="0.45">
      <c r="B5" s="23" t="s">
        <v>242</v>
      </c>
      <c r="C5" s="23" t="s">
        <v>243</v>
      </c>
      <c r="D5" s="23" t="s">
        <v>259</v>
      </c>
    </row>
    <row r="6" spans="2:4" ht="15" customHeight="1" x14ac:dyDescent="0.4">
      <c r="B6" s="18" t="s">
        <v>260</v>
      </c>
      <c r="D6" s="15"/>
    </row>
    <row r="7" spans="2:4" ht="15" customHeight="1" x14ac:dyDescent="0.4">
      <c r="B7" s="12" t="s">
        <v>261</v>
      </c>
      <c r="C7" s="27">
        <f>INC_net</f>
        <v>0</v>
      </c>
      <c r="D7" s="15" t="s">
        <v>262</v>
      </c>
    </row>
    <row r="8" spans="2:4" ht="15" customHeight="1" x14ac:dyDescent="0.4">
      <c r="B8" s="12" t="s">
        <v>263</v>
      </c>
      <c r="C8" s="27">
        <f>INC_depreciation</f>
        <v>0</v>
      </c>
      <c r="D8" s="15" t="s">
        <v>262</v>
      </c>
    </row>
    <row r="9" spans="2:4" ht="15" customHeight="1" x14ac:dyDescent="0.4">
      <c r="B9" s="28" t="s">
        <v>264</v>
      </c>
      <c r="D9" s="15"/>
    </row>
    <row r="10" spans="2:4" ht="15" customHeight="1" x14ac:dyDescent="0.4">
      <c r="B10" s="12" t="s">
        <v>265</v>
      </c>
      <c r="C10" s="19">
        <v>970</v>
      </c>
      <c r="D10" s="15" t="inlineStr">
        <is>
          <t>2024-to-2025 trade receivables decrease</t>
        </is>
      </c>
    </row>
    <row r="11" spans="2:4" ht="15" customHeight="1" x14ac:dyDescent="0.4">
      <c r="B11" s="12" t="s">
        <v>267</v>
      </c>
      <c r="C11" s="19">
        <v>195</v>
      </c>
      <c r="D11" s="15" t="inlineStr">
        <is>
          <t>2024-to-2025 inventories decrease</t>
        </is>
      </c>
    </row>
    <row r="12" spans="2:4" ht="15" customHeight="1" x14ac:dyDescent="0.4">
      <c r="B12" s="12" t="s">
        <v>268</v>
      </c>
      <c r="C12" s="19">
        <v>607</v>
      </c>
      <c r="D12" s="15" t="inlineStr">
        <is>
          <t>Current-asset movement; grouped to tie audited CFO</t>
        </is>
      </c>
    </row>
    <row r="13" spans="2:4" ht="15" customHeight="1" x14ac:dyDescent="0.4">
      <c r="B13" s="12" t="s">
        <v>269</v>
      </c>
      <c r="C13" s="19">
        <v>848</v>
      </c>
      <c r="D13" s="15" t="inlineStr">
        <is>
          <t>2024-to-2025 trade payables increase</t>
        </is>
      </c>
    </row>
    <row r="14" spans="2:4" ht="15" customHeight="1" x14ac:dyDescent="0.4">
      <c r="B14" s="12" t="s">
        <v>270</v>
      </c>
      <c r="C14" s="19">
        <v>-885</v>
      </c>
      <c r="D14" s="15" t="inlineStr">
        <is>
          <t>Other working-capital movement; grouped to tie audited CFO</t>
        </is>
      </c>
    </row>
    <row r="15" spans="2:4" ht="15" customHeight="1" x14ac:dyDescent="0.4">
      <c r="B15" s="20" t="s">
        <v>271</v>
      </c>
      <c r="C15" s="21">
        <v>1735</v>
      </c>
      <c r="D15" s="15"/>
    </row>
    <row r="16" spans="2:4" ht="16.5" customHeight="1" x14ac:dyDescent="0.45">
      <c r="B16" s="5" t="s">
        <v>272</v>
      </c>
      <c r="C16" s="22">
        <v>63842</v>
      </c>
      <c r="D16" s="15"/>
    </row>
    <row r="17" spans="2:4" x14ac:dyDescent="0.35">
      <c r="D17" s="15"/>
    </row>
    <row r="18" spans="2:4" ht="15" customHeight="1" x14ac:dyDescent="0.4">
      <c r="B18" s="18" t="s">
        <v>273</v>
      </c>
      <c r="D18" s="15"/>
    </row>
    <row r="19" spans="2:4" ht="15" customHeight="1" x14ac:dyDescent="0.4">
      <c r="B19" s="12" t="s">
        <v>274</v>
      </c>
      <c r="C19" s="19">
        <v>-22871</v>
      </c>
      <c r="D19" s="15" t="inlineStr">
        <is>
          <t>Purchase of property and equipment</t>
        </is>
      </c>
    </row>
    <row r="20" spans="2:4" ht="15" customHeight="1" x14ac:dyDescent="0.4">
      <c r="B20" s="12" t="s">
        <v>275</v>
      </c>
      <c r="C20" s="19">
        <v>229</v>
      </c>
      <c r="D20" s="15" t="inlineStr">
        <is>
          <t>Property sale proceeds plus insurance claims</t>
        </is>
      </c>
    </row>
    <row r="21" spans="2:4" ht="15" customHeight="1" x14ac:dyDescent="0.4">
      <c r="B21" s="12" t="s">
        <v>276</v>
      </c>
      <c r="C21" s="19">
        <v>-3453</v>
      </c>
      <c r="D21" s="15" t="inlineStr">
        <is>
          <t>Other investing items including intangible assets and advances</t>
        </is>
      </c>
    </row>
    <row r="22" spans="2:4" ht="16.5" customHeight="1" x14ac:dyDescent="0.45">
      <c r="B22" s="5" t="s">
        <v>277</v>
      </c>
      <c r="C22" s="22">
        <v>-26095</v>
      </c>
      <c r="D22" s="15"/>
    </row>
    <row r="23" spans="2:4" x14ac:dyDescent="0.35">
      <c r="D23" s="15"/>
    </row>
    <row r="24" spans="2:4" ht="15" customHeight="1" x14ac:dyDescent="0.4">
      <c r="B24" s="18" t="s">
        <v>278</v>
      </c>
      <c r="D24" s="15"/>
    </row>
    <row r="25" spans="2:4" ht="15" customHeight="1" x14ac:dyDescent="0.4">
      <c r="B25" s="12" t="s">
        <v>279</v>
      </c>
      <c r="C25" s="19">
        <v>-9498</v>
      </c>
      <c r="D25" s="15" t="inlineStr">
        <is>
          <t>Net proceeds/repayments of loans and lease principal</t>
        </is>
      </c>
    </row>
    <row r="26" spans="2:4" ht="15" customHeight="1" x14ac:dyDescent="0.4">
      <c r="B26" s="12" t="s">
        <v>280</v>
      </c>
      <c r="C26" s="19">
        <v>0</v>
      </c>
      <c r="D26" s="15"/>
    </row>
    <row r="27" spans="2:4" ht="15" customHeight="1" x14ac:dyDescent="0.4">
      <c r="B27" s="12" t="s">
        <v>281</v>
      </c>
      <c r="C27" s="19">
        <v>-28406</v>
      </c>
      <c r="D27" s="15" t="inlineStr">
        <is>
          <t>Dividends paid to parent stockholders and non-controlling interests</t>
        </is>
      </c>
    </row>
    <row r="28" spans="2:4" ht="15" customHeight="1" x14ac:dyDescent="0.4">
      <c r="B28" s="12" t="s">
        <v>282</v>
      </c>
      <c r="C28" s="19">
        <v>161</v>
      </c>
      <c r="D28" s="15" t="inlineStr">
        <is>
          <t>Subsidiary share issuance less buybacks</t>
        </is>
      </c>
    </row>
    <row r="29" spans="2:4" ht="15" customHeight="1" x14ac:dyDescent="0.4">
      <c r="B29" s="12" t="s">
        <v>283</v>
      </c>
      <c r="C29" s="19">
        <v>0</v>
      </c>
      <c r="D29" s="15"/>
    </row>
    <row r="30" spans="2:4" ht="16.5" customHeight="1" x14ac:dyDescent="0.45">
      <c r="B30" s="5" t="s">
        <v>284</v>
      </c>
      <c r="C30" s="22">
        <v>-37743</v>
      </c>
      <c r="D30" s="15"/>
    </row>
    <row r="31" spans="2:4" x14ac:dyDescent="0.35">
      <c r="D31" s="15"/>
    </row>
    <row r="32" spans="2:4" ht="16.5" customHeight="1" x14ac:dyDescent="0.45">
      <c r="B32" s="5" t="s">
        <v>285</v>
      </c>
      <c r="C32" s="22">
        <v>4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35" activePane="bottomRight" state="frozen"/>
      <selection pane="topRight"/>
      <selection pane="bottomLeft"/>
      <selection pane="bottomRight" activeCell="F75" sqref="F75"/>
    </sheetView>
  </sheetViews>
  <sheetFormatPr defaultRowHeight="14.5" x14ac:dyDescent="0.3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6">
      <c r="B2" s="14" t="s">
        <v>0</v>
      </c>
    </row>
    <row r="3" spans="2:5" x14ac:dyDescent="0.35">
      <c r="B3" s="15" t="s">
        <v>1</v>
      </c>
    </row>
    <row r="5" spans="2:5" ht="16.5" customHeight="1" x14ac:dyDescent="0.45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4">
      <c r="B6" s="12" t="s">
        <v>6</v>
      </c>
      <c r="C6" s="29">
        <v>2025</v>
      </c>
      <c r="D6" s="30"/>
      <c r="E6" s="30" t="s">
        <v>7</v>
      </c>
    </row>
    <row r="7" spans="2:5" ht="15" customHeight="1" x14ac:dyDescent="0.4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5" ht="15" customHeight="1" x14ac:dyDescent="0.4">
      <c r="B8" s="12" t="s">
        <v>11</v>
      </c>
      <c r="C8" s="32">
        <v>3.48</v>
      </c>
      <c r="D8" s="30"/>
      <c r="E8" s="30" t="s">
        <v>12</v>
      </c>
    </row>
    <row r="9" spans="2:5" ht="15" customHeight="1" x14ac:dyDescent="0.4">
      <c r="B9" s="12" t="s">
        <v>13</v>
      </c>
      <c r="C9" s="33">
        <v>99061.024659</v>
      </c>
      <c r="D9" s="30"/>
      <c r="E9" s="30" t="s">
        <v>14</v>
      </c>
    </row>
    <row r="10" spans="2:5" ht="15" customHeight="1" x14ac:dyDescent="0.4">
      <c r="B10" s="12" t="s">
        <v>15</v>
      </c>
      <c r="C10" s="34">
        <v>0.0956</v>
      </c>
      <c r="D10" s="30"/>
      <c r="E10" s="30" t="s">
        <v>16</v>
      </c>
    </row>
    <row r="11" spans="2:5" ht="15" customHeight="1" x14ac:dyDescent="0.4">
      <c r="B11" s="12" t="s">
        <v>17</v>
      </c>
      <c r="C11" s="34">
        <v>0.213619702913</v>
      </c>
      <c r="D11" s="30"/>
      <c r="E11" s="30" t="s">
        <v>18</v>
      </c>
    </row>
    <row r="12" spans="2:5" ht="15" customHeight="1" x14ac:dyDescent="0.4">
      <c r="B12" s="12" t="s">
        <v>19</v>
      </c>
      <c r="C12" s="35">
        <f>share_price*shares_outstanding</f>
        <v>344732.36581332</v>
      </c>
      <c r="D12" s="30" t="s">
        <v>20</v>
      </c>
      <c r="E12" s="30" t="s">
        <v>21</v>
      </c>
    </row>
    <row r="14" spans="2:5" ht="16.5" customHeight="1" x14ac:dyDescent="0.45">
      <c r="B14" s="45" t="s">
        <v>22</v>
      </c>
      <c r="C14" s="46"/>
      <c r="D14" s="46"/>
      <c r="E14" s="46"/>
    </row>
    <row r="15" spans="2:5" ht="15" customHeight="1" x14ac:dyDescent="0.4">
      <c r="B15" s="12" t="s">
        <v>23</v>
      </c>
      <c r="C15" s="36">
        <f>BAL_equity_shareholders_prior</f>
        <v>154204</v>
      </c>
      <c r="D15" s="30" t="s">
        <v>24</v>
      </c>
      <c r="E15" s="30" t="s">
        <v>25</v>
      </c>
    </row>
    <row r="16" spans="2:5" ht="15" customHeight="1" x14ac:dyDescent="0.4">
      <c r="B16" s="12" t="s">
        <v>26</v>
      </c>
      <c r="C16" s="36">
        <f>BAL_inventories_prior</f>
        <v>1096</v>
      </c>
      <c r="D16" s="30" t="s">
        <v>27</v>
      </c>
      <c r="E16" s="30" t="s">
        <v>28</v>
      </c>
    </row>
    <row r="17" spans="2:5" ht="15" customHeight="1" x14ac:dyDescent="0.4">
      <c r="B17" s="12" t="s">
        <v>29</v>
      </c>
      <c r="C17" s="36">
        <f>BAL_receivables_prior</f>
        <v>12193</v>
      </c>
      <c r="D17" s="30" t="s">
        <v>30</v>
      </c>
      <c r="E17" s="30" t="s">
        <v>31</v>
      </c>
    </row>
    <row r="18" spans="2:5" ht="15" customHeight="1" x14ac:dyDescent="0.4">
      <c r="B18" s="12" t="s">
        <v>32</v>
      </c>
      <c r="C18" s="36">
        <f>BAL_assets_total_prior</f>
        <v>291389</v>
      </c>
      <c r="D18" s="30" t="s">
        <v>33</v>
      </c>
      <c r="E18" s="30" t="s">
        <v>34</v>
      </c>
    </row>
    <row r="19" spans="2:5" ht="15" customHeight="1" x14ac:dyDescent="0.4">
      <c r="B19" s="12" t="s">
        <v>35</v>
      </c>
      <c r="C19" s="36">
        <f>BAL_debt_long_term_prior+BAL_equity_shareholders_prior</f>
        <v>198190</v>
      </c>
      <c r="D19" s="30" t="s">
        <v>36</v>
      </c>
      <c r="E19" s="30" t="s">
        <v>37</v>
      </c>
    </row>
    <row r="21" spans="2:5" ht="16.5" customHeight="1" x14ac:dyDescent="0.45">
      <c r="B21" s="45" t="s">
        <v>38</v>
      </c>
      <c r="C21" s="46"/>
      <c r="D21" s="46"/>
      <c r="E21" s="46"/>
    </row>
    <row r="22" spans="2:5" ht="15" customHeight="1" x14ac:dyDescent="0.4">
      <c r="B22" s="12" t="s">
        <v>39</v>
      </c>
      <c r="C22" s="36">
        <f>INC_net+(1-tax_rate)*INC_interest_expense</f>
        <v>28551.8958266349</v>
      </c>
      <c r="D22" s="30" t="s">
        <v>40</v>
      </c>
      <c r="E22" s="30" t="s">
        <v>41</v>
      </c>
    </row>
    <row r="23" spans="2:5" ht="15" customHeight="1" x14ac:dyDescent="0.4">
      <c r="B23" s="12" t="s">
        <v>42</v>
      </c>
      <c r="C23" s="37">
        <f>IFERROR(INC_sales/365,"")</f>
        <v>402.032876712329</v>
      </c>
      <c r="D23" s="30" t="s">
        <v>43</v>
      </c>
      <c r="E23" s="30" t="s">
        <v>44</v>
      </c>
    </row>
    <row r="24" spans="2:5" ht="15" customHeight="1" x14ac:dyDescent="0.4">
      <c r="B24" s="12" t="s">
        <v>45</v>
      </c>
      <c r="C24" s="36">
        <f>BAL_equity_shareholders_curr</f>
        <v>150537</v>
      </c>
      <c r="D24" s="30" t="s">
        <v>46</v>
      </c>
      <c r="E24" s="30" t="s">
        <v>47</v>
      </c>
    </row>
    <row r="25" spans="2:5" ht="15" customHeight="1" x14ac:dyDescent="0.4">
      <c r="B25" s="12" t="s">
        <v>48</v>
      </c>
      <c r="C25" s="36">
        <f>BAL_cash_marketable_securities_curr</f>
        <v>35648</v>
      </c>
      <c r="D25" s="30" t="s">
        <v>49</v>
      </c>
      <c r="E25" s="30" t="s">
        <v>50</v>
      </c>
    </row>
    <row r="26" spans="2:5" ht="15" customHeight="1" x14ac:dyDescent="0.4">
      <c r="B26" s="12" t="s">
        <v>51</v>
      </c>
      <c r="C26" s="36">
        <f>BAL_assets_current_curr</f>
        <v>61766</v>
      </c>
      <c r="D26" s="30" t="s">
        <v>52</v>
      </c>
      <c r="E26" s="30" t="s">
        <v>53</v>
      </c>
    </row>
    <row r="27" spans="2:5" ht="15" customHeight="1" x14ac:dyDescent="0.4">
      <c r="B27" s="12" t="s">
        <v>54</v>
      </c>
      <c r="C27" s="36">
        <f>BAL_liabilities_current_curr</f>
        <v>73948</v>
      </c>
      <c r="D27" s="30" t="s">
        <v>55</v>
      </c>
      <c r="E27" s="30" t="s">
        <v>56</v>
      </c>
    </row>
    <row r="28" spans="2:5" ht="15" customHeight="1" x14ac:dyDescent="0.4">
      <c r="B28" s="12" t="s">
        <v>57</v>
      </c>
      <c r="C28" s="37">
        <f>IFERROR(INC_cost_goods_sold/365,"")</f>
        <v>132.197260273973</v>
      </c>
      <c r="D28" s="30" t="s">
        <v>58</v>
      </c>
      <c r="E28" s="30" t="s">
        <v>59</v>
      </c>
    </row>
    <row r="29" spans="2:5" ht="15" customHeight="1" x14ac:dyDescent="0.4">
      <c r="B29" s="12" t="s">
        <v>60</v>
      </c>
      <c r="C29" s="36">
        <f>BAL_debt_long_term_curr</f>
        <v>44646</v>
      </c>
      <c r="D29" s="30" t="s">
        <v>61</v>
      </c>
      <c r="E29" s="30" t="s">
        <v>62</v>
      </c>
    </row>
    <row r="30" spans="2:5" ht="15" customHeight="1" x14ac:dyDescent="0.4">
      <c r="B30" s="12" t="s">
        <v>63</v>
      </c>
      <c r="C30" s="36">
        <f>BAL_assets_current_curr-BAL_liabilities_current_curr</f>
        <v>-12182</v>
      </c>
      <c r="D30" s="30" t="s">
        <v>64</v>
      </c>
      <c r="E30" s="30" t="s">
        <v>65</v>
      </c>
    </row>
    <row r="31" spans="2:5" ht="15" customHeight="1" x14ac:dyDescent="0.4">
      <c r="B31" s="12" t="s">
        <v>66</v>
      </c>
      <c r="C31" s="36">
        <f>BAL_assets_total_curr</f>
        <v>287759</v>
      </c>
      <c r="D31" s="30" t="s">
        <v>67</v>
      </c>
      <c r="E31" s="30" t="s">
        <v>68</v>
      </c>
    </row>
    <row r="32" spans="2:5" ht="15" customHeight="1" x14ac:dyDescent="0.4">
      <c r="B32" s="12" t="s">
        <v>69</v>
      </c>
      <c r="C32" s="36">
        <f>BAL_debt_long_term_curr+BAL_equity_shareholders_curr</f>
        <v>195183</v>
      </c>
      <c r="D32" s="30" t="s">
        <v>70</v>
      </c>
      <c r="E32" s="30" t="s">
        <v>71</v>
      </c>
    </row>
    <row r="33" spans="2:6" ht="15" customHeight="1" x14ac:dyDescent="0.4">
      <c r="B33" s="12" t="s">
        <v>72</v>
      </c>
      <c r="C33" s="36">
        <f>BAL_liabilities_total_curr</f>
        <v>137222</v>
      </c>
      <c r="D33" s="30" t="s">
        <v>73</v>
      </c>
      <c r="E33" s="30" t="s">
        <v>74</v>
      </c>
    </row>
    <row r="35" spans="2:6" ht="16.5" customHeight="1" x14ac:dyDescent="0.45">
      <c r="B35" s="45" t="s">
        <v>75</v>
      </c>
      <c r="C35" s="46"/>
      <c r="D35" s="46"/>
      <c r="E35" s="46"/>
    </row>
    <row r="36" spans="2:6" ht="15" customHeight="1" x14ac:dyDescent="0.4">
      <c r="B36" s="12" t="s">
        <v>76</v>
      </c>
      <c r="C36" s="37">
        <f>AVERAGE(startYear_equity,currentYear_equity)</f>
        <v>152370.5</v>
      </c>
      <c r="D36" s="30" t="s">
        <v>77</v>
      </c>
      <c r="E36" s="30" t="s">
        <v>78</v>
      </c>
    </row>
    <row r="37" spans="2:6" ht="15" customHeight="1" x14ac:dyDescent="0.4">
      <c r="B37" s="12" t="s">
        <v>79</v>
      </c>
      <c r="C37" s="37">
        <f>AVERAGE(startYear_total_assets,currentYear_assets_total)</f>
        <v>289574</v>
      </c>
      <c r="D37" s="30" t="s">
        <v>80</v>
      </c>
      <c r="E37" s="30" t="s">
        <v>81</v>
      </c>
    </row>
    <row r="38" spans="2:6" ht="15" customHeight="1" x14ac:dyDescent="0.4">
      <c r="B38" s="12" t="s">
        <v>82</v>
      </c>
      <c r="C38" s="37">
        <f>AVERAGE(startYear_total_capitalization,currentYear_total_capitalization)</f>
        <v>196686.5</v>
      </c>
      <c r="D38" s="30" t="s">
        <v>83</v>
      </c>
      <c r="E38" s="30" t="s">
        <v>84</v>
      </c>
    </row>
    <row r="41" spans="2:6" ht="16.5" customHeight="1" x14ac:dyDescent="0.45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45">
      <c r="B42" s="5" t="s">
        <v>89</v>
      </c>
      <c r="C42" s="1"/>
      <c r="D42" s="1"/>
      <c r="E42" s="1"/>
    </row>
    <row r="43" spans="2:6" ht="15" customHeight="1" x14ac:dyDescent="0.4">
      <c r="B43" s="12" t="s">
        <v>90</v>
      </c>
      <c r="C43" s="38">
        <f>market_capitalization-currentYear_equity</f>
        <v>194195.36581332</v>
      </c>
      <c r="D43" s="30" t="s">
        <v>91</v>
      </c>
      <c r="E43" s="30"/>
    </row>
    <row r="44" spans="2:6" ht="15" customHeight="1" x14ac:dyDescent="0.4">
      <c r="B44" s="12" t="s">
        <v>92</v>
      </c>
      <c r="C44" s="39">
        <f>market_capitalization/currentYear_equity</f>
        <v>2.290017509405</v>
      </c>
      <c r="D44" s="30" t="s">
        <v>93</v>
      </c>
      <c r="E44" s="30"/>
    </row>
    <row r="45" spans="2:6" ht="15" customHeight="1" x14ac:dyDescent="0.4">
      <c r="B45" s="12" t="s">
        <v>94</v>
      </c>
      <c r="C45" s="38">
        <f>currentYear_after_tax_operating_income-(cost_capital*startYear_total_capitalization)</f>
        <v>9604.93182663494</v>
      </c>
      <c r="D45" s="30" t="s">
        <v>95</v>
      </c>
      <c r="E45" s="30"/>
    </row>
    <row r="46" spans="2:6" ht="16.5" customHeight="1" x14ac:dyDescent="0.45">
      <c r="B46" s="5" t="s">
        <v>96</v>
      </c>
      <c r="C46" s="1"/>
      <c r="D46" s="1"/>
      <c r="E46" s="1"/>
    </row>
    <row r="47" spans="2:6" ht="15" customHeight="1" x14ac:dyDescent="0.4">
      <c r="B47" s="12" t="s">
        <v>97</v>
      </c>
      <c r="C47" s="40">
        <f>currentYear_after_tax_operating_income/startYear_total_assets</f>
        <v>0.097985496455</v>
      </c>
      <c r="D47" s="30" t="s">
        <v>98</v>
      </c>
      <c r="E47" s="30"/>
    </row>
    <row r="48" spans="2:6" ht="15" customHeight="1" x14ac:dyDescent="0.4">
      <c r="B48" s="12" t="s">
        <v>99</v>
      </c>
      <c r="C48" s="40">
        <f>currentYear_after_tax_operating_income/startYear_total_capitalization</f>
        <v>0.14406325156</v>
      </c>
      <c r="D48" s="30" t="s">
        <v>100</v>
      </c>
      <c r="E48" s="30"/>
    </row>
    <row r="49" spans="2:5" ht="15" customHeight="1" x14ac:dyDescent="0.4">
      <c r="B49" s="12" t="s">
        <v>101</v>
      </c>
      <c r="C49" s="40">
        <f>INC_net/startYear_equity</f>
        <v>0.158608077611</v>
      </c>
      <c r="D49" s="30" t="s">
        <v>102</v>
      </c>
      <c r="E49" s="30"/>
    </row>
    <row r="50" spans="2:5" ht="15" customHeight="1" x14ac:dyDescent="0.4">
      <c r="B50" s="12" t="s">
        <v>103</v>
      </c>
      <c r="C50" s="40">
        <f>currentYear_after_tax_operating_income/avg_total_assets</f>
        <v>0.098599652685</v>
      </c>
      <c r="D50" s="30" t="s">
        <v>104</v>
      </c>
      <c r="E50" s="30"/>
    </row>
    <row r="51" spans="2:5" ht="15" customHeight="1" x14ac:dyDescent="0.4">
      <c r="B51" s="12" t="s">
        <v>105</v>
      </c>
      <c r="C51" s="40">
        <f>currentYear_after_tax_operating_income/avg_total_capitalization</f>
        <v>0.145164491852</v>
      </c>
      <c r="D51" s="30" t="s">
        <v>106</v>
      </c>
      <c r="E51" s="30"/>
    </row>
    <row r="52" spans="2:5" ht="15" customHeight="1" x14ac:dyDescent="0.4">
      <c r="B52" s="12" t="s">
        <v>107</v>
      </c>
      <c r="C52" s="40">
        <f>INC_net/avg_equity</f>
        <v>0.160516635438</v>
      </c>
      <c r="D52" s="30" t="s">
        <v>108</v>
      </c>
      <c r="E52" s="30"/>
    </row>
    <row r="53" spans="2:5" ht="16.5" customHeight="1" x14ac:dyDescent="0.45">
      <c r="B53" s="5" t="s">
        <v>109</v>
      </c>
      <c r="C53" s="1"/>
      <c r="D53" s="1"/>
      <c r="E53" s="1"/>
    </row>
    <row r="54" spans="2:5" ht="15" customHeight="1" x14ac:dyDescent="0.4">
      <c r="B54" s="12" t="s">
        <v>110</v>
      </c>
      <c r="C54" s="39">
        <f>INC_sales/startYear_total_assets</f>
        <v>0.503594850869</v>
      </c>
      <c r="D54" s="30" t="s">
        <v>111</v>
      </c>
      <c r="E54" s="30" t="s">
        <v>112</v>
      </c>
    </row>
    <row r="55" spans="2:5" ht="15" customHeight="1" x14ac:dyDescent="0.4">
      <c r="B55" s="12" t="s">
        <v>113</v>
      </c>
      <c r="C55" s="39">
        <f>INC_sales/startYear_receivables</f>
        <v>12.034938079226</v>
      </c>
      <c r="D55" s="30" t="s">
        <v>114</v>
      </c>
      <c r="E55" s="30"/>
    </row>
    <row r="56" spans="2:5" ht="15" customHeight="1" x14ac:dyDescent="0.4">
      <c r="B56" s="12" t="s">
        <v>115</v>
      </c>
      <c r="C56" s="41">
        <f>startYear_receivables/currentYear_daily_sales_average</f>
        <v>30.328365430483</v>
      </c>
      <c r="D56" s="30" t="s">
        <v>116</v>
      </c>
      <c r="E56" s="30"/>
    </row>
    <row r="57" spans="2:5" ht="15" customHeight="1" x14ac:dyDescent="0.4">
      <c r="B57" s="12" t="s">
        <v>117</v>
      </c>
      <c r="C57" s="39">
        <f>INC_cost_goods_sold/startYear_inventory</f>
        <v>44.025547445256</v>
      </c>
      <c r="D57" s="30" t="s">
        <v>118</v>
      </c>
      <c r="E57" s="30"/>
    </row>
    <row r="58" spans="2:5" ht="15" customHeight="1" x14ac:dyDescent="0.4">
      <c r="B58" s="12" t="s">
        <v>119</v>
      </c>
      <c r="C58" s="41">
        <f>startYear_inventory/currentYear_cost_goods_sold_daily</f>
        <v>8.290640802454</v>
      </c>
      <c r="D58" s="30" t="s">
        <v>120</v>
      </c>
      <c r="E58" s="30"/>
    </row>
    <row r="59" spans="2:5" ht="15" customHeight="1" x14ac:dyDescent="0.4">
      <c r="B59" s="12" t="s">
        <v>121</v>
      </c>
      <c r="C59" s="40">
        <f>INC_net/INC_sales</f>
        <v>0.166673481348</v>
      </c>
      <c r="D59" s="30" t="s">
        <v>122</v>
      </c>
      <c r="E59" s="30"/>
    </row>
    <row r="60" spans="2:5" ht="15" customHeight="1" x14ac:dyDescent="0.4">
      <c r="B60" s="12" t="s">
        <v>123</v>
      </c>
      <c r="C60" s="40">
        <f>currentYear_after_tax_operating_income/INC_sales</f>
        <v>0.194572077705</v>
      </c>
      <c r="D60" s="30" t="s">
        <v>124</v>
      </c>
      <c r="E60" s="30" t="s">
        <v>125</v>
      </c>
    </row>
    <row r="61" spans="2:5" ht="16.5" customHeight="1" x14ac:dyDescent="0.45">
      <c r="B61" s="5" t="s">
        <v>126</v>
      </c>
      <c r="C61" s="1"/>
      <c r="D61" s="1"/>
      <c r="E61" s="1"/>
    </row>
    <row r="62" spans="2:5" ht="15" customHeight="1" x14ac:dyDescent="0.4">
      <c r="B62" s="12" t="s">
        <v>127</v>
      </c>
      <c r="C62" s="40">
        <f>currentYear_debt_long_term/(currentYear_debt_long_term+currentYear_equity)</f>
        <v>0.228739183228</v>
      </c>
      <c r="D62" s="30" t="s">
        <v>128</v>
      </c>
      <c r="E62" s="30"/>
    </row>
    <row r="63" spans="2:5" ht="15" customHeight="1" x14ac:dyDescent="0.4">
      <c r="B63" s="12" t="s">
        <v>129</v>
      </c>
      <c r="C63" s="39">
        <f>currentYear_debt_long_term/currentYear_equity</f>
        <v>0.296578249865</v>
      </c>
      <c r="D63" s="30" t="s">
        <v>130</v>
      </c>
      <c r="E63" s="30"/>
    </row>
    <row r="64" spans="2:5" ht="15" customHeight="1" x14ac:dyDescent="0.4">
      <c r="B64" s="12" t="s">
        <v>131</v>
      </c>
      <c r="C64" s="40">
        <f>currentYear_liabilities_total/currentYear_assets_total</f>
        <v>0.47686432049</v>
      </c>
      <c r="D64" s="30" t="s">
        <v>132</v>
      </c>
      <c r="E64" s="30"/>
    </row>
    <row r="65" spans="2:6" ht="15" customHeight="1" x14ac:dyDescent="0.4">
      <c r="B65" s="12" t="s">
        <v>133</v>
      </c>
      <c r="C65" s="39">
        <f>INC_ebit/INC_interest_expense</f>
        <v>6.655397618133</v>
      </c>
      <c r="D65" s="30" t="s">
        <v>134</v>
      </c>
      <c r="E65" s="30"/>
    </row>
    <row r="66" spans="2:6" ht="15" customHeight="1" x14ac:dyDescent="0.4">
      <c r="B66" s="12" t="s">
        <v>135</v>
      </c>
      <c r="C66" s="39">
        <f>(INC_ebit+INC_depreciation)/INC_interest_expense</f>
        <v>13.887245485978</v>
      </c>
      <c r="D66" s="30" t="s">
        <v>136</v>
      </c>
      <c r="E66" s="30"/>
    </row>
    <row r="67" spans="2:6" ht="15" customHeight="1" x14ac:dyDescent="0.4">
      <c r="B67" s="12" t="s">
        <v>137</v>
      </c>
      <c r="C67" s="42">
        <f>INC_net/currentYear_after_tax_operating_income</f>
        <v>0.856615621902</v>
      </c>
      <c r="D67" s="30" t="s">
        <v>138</v>
      </c>
      <c r="E67" s="30" t="s">
        <v>139</v>
      </c>
    </row>
    <row r="68" spans="2:6" ht="15" customHeight="1" x14ac:dyDescent="0.4">
      <c r="B68" s="12" t="s">
        <v>140</v>
      </c>
      <c r="C68" s="39">
        <f>currentYear_assets_total/currentYear_equity</f>
        <v>1.911549984389</v>
      </c>
      <c r="D68" s="30" t="s">
        <v>141</v>
      </c>
      <c r="E68" s="30" t="s">
        <v>142</v>
      </c>
    </row>
    <row r="69" spans="2:6" ht="16.5" customHeight="1" x14ac:dyDescent="0.45">
      <c r="B69" s="5" t="s">
        <v>143</v>
      </c>
      <c r="C69" s="1"/>
      <c r="D69" s="1"/>
      <c r="E69" s="1"/>
    </row>
    <row r="70" spans="2:6" ht="15" customHeight="1" x14ac:dyDescent="0.4">
      <c r="B70" s="12" t="s">
        <v>144</v>
      </c>
      <c r="C70" s="40">
        <f>currentYear_working_capital_net/currentYear_assets_total</f>
        <v>-0.042334036468</v>
      </c>
      <c r="D70" s="30" t="s">
        <v>145</v>
      </c>
      <c r="E70" s="30"/>
    </row>
    <row r="71" spans="2:6" ht="15" customHeight="1" x14ac:dyDescent="0.4">
      <c r="B71" s="12" t="s">
        <v>146</v>
      </c>
      <c r="C71" s="39">
        <f>currentYear_assets_current/currentYear_liabilities_current</f>
        <v>0.835262616974</v>
      </c>
      <c r="D71" s="30" t="s">
        <v>147</v>
      </c>
      <c r="E71" s="30"/>
    </row>
    <row r="72" spans="2:6" ht="15" customHeight="1" x14ac:dyDescent="0.4">
      <c r="B72" s="12" t="s">
        <v>148</v>
      </c>
      <c r="C72" s="39">
        <f>(currentYear_cash_marketable_securities+BAL_receivables_curr)/currentYear_liabilities_current</f>
        <v>0.633837291069</v>
      </c>
      <c r="D72" s="30" t="s">
        <v>149</v>
      </c>
      <c r="E72" s="30"/>
    </row>
    <row r="73" spans="2:6" ht="15" customHeight="1" x14ac:dyDescent="0.4">
      <c r="B73" s="12" t="s">
        <v>150</v>
      </c>
      <c r="C73" s="39">
        <f>currentYear_cash_marketable_securities/currentYear_liabilities_current</f>
        <v>0.482068480554</v>
      </c>
      <c r="D73" s="30" t="s">
        <v>151</v>
      </c>
      <c r="E73" s="30"/>
    </row>
    <row r="74" spans="2:6" ht="16.5" customHeight="1" x14ac:dyDescent="0.45">
      <c r="B74" s="5" t="s">
        <v>152</v>
      </c>
      <c r="C74" s="1"/>
      <c r="D74" s="1"/>
      <c r="E74" s="1"/>
    </row>
    <row r="75" spans="2:6" ht="15" customHeight="1" x14ac:dyDescent="0.4">
      <c r="B75" s="12" t="s">
        <v>153</v>
      </c>
      <c r="C75" s="40">
        <f>RATIO_asset_turnover*RATIO_operating_profit_margin</f>
        <v>0.097985496455</v>
      </c>
      <c r="D75" s="30" t="s">
        <v>154</v>
      </c>
      <c r="E75" s="30"/>
      <c r="F75" s="44" t="inlineStr">
        <is>
          <t>matches direct ROA</t>
        </is>
      </c>
    </row>
    <row r="76" spans="2:6" ht="15" customHeight="1" x14ac:dyDescent="0.4">
      <c r="B76" s="12" t="s">
        <v>155</v>
      </c>
      <c r="C76" s="40">
        <f>RATIO_leverage*RATIO_asset_turnover*RATIO_operating_profit_margin*RATIO_debt_burden</f>
        <v>0.160447681684</v>
      </c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workbookViewId="0">
      <selection activeCell="C4" sqref="C4"/>
    </sheetView>
  </sheetViews>
  <sheetFormatPr defaultRowHeight="14.5" x14ac:dyDescent="0.35"/>
  <cols>
    <col min="1" max="1" width="3.90625" customWidth="1"/>
    <col min="2" max="2" width="28" customWidth="1"/>
    <col min="3" max="3" width="70" customWidth="1"/>
  </cols>
  <sheetData>
    <row r="2" spans="2:3" ht="23" customHeight="1" x14ac:dyDescent="0.6">
      <c r="B2" s="14" t="s">
        <v>286</v>
      </c>
    </row>
    <row r="4" spans="2:3" x14ac:dyDescent="0.35">
      <c r="B4" s="43" t="s">
        <v>287</v>
      </c>
      <c r="C4" s="4" t="inlineStr">
        <is>
          <t>PT Telkom Indonesia (Persero) Tbk</t>
        </is>
      </c>
    </row>
    <row r="5" spans="2:3" x14ac:dyDescent="0.35">
      <c r="B5" s="43" t="s">
        <v>289</v>
      </c>
      <c r="C5" s="4" t="inlineStr">
        <is>
          <t>IDX: TLKM / NYSE: TLK</t>
        </is>
      </c>
    </row>
    <row r="6" spans="2:3" x14ac:dyDescent="0.35">
      <c r="B6" s="43" t="s">
        <v>291</v>
      </c>
      <c r="C6" s="4" t="inlineStr">
        <is>
          <t>Telecommunications and digital infrastructure</t>
        </is>
      </c>
    </row>
    <row r="7" spans="2:3" x14ac:dyDescent="0.35">
      <c r="B7" s="43" t="s">
        <v>293</v>
      </c>
      <c r="C7" s="4" t="inlineStr">
        <is>
          <t>FY2025 (year ended December 31, 2025)</t>
        </is>
      </c>
    </row>
    <row r="8" spans="2:3" x14ac:dyDescent="0.35">
      <c r="B8" s="43" t="s">
        <v>295</v>
      </c>
      <c r="C8" s="4" t="inlineStr">
        <is>
          <t>FY2024 (restated; year ended December 31, 2024)</t>
        </is>
      </c>
    </row>
    <row r="9" spans="2:3" x14ac:dyDescent="0.35">
      <c r="B9" s="43" t="s">
        <v>296</v>
      </c>
      <c r="C9" s="4" t="inlineStr">
        <is>
          <t>Official SEC Form 20-F / 10-K PDF provided locally: C:\Users\comic\OneDrive\Documents\TLKM10k.pdf. Financial statements extracted with pdftotext from consolidated statements of financial position, profit or loss, and cash flows.</t>
        </is>
      </c>
    </row>
    <row r="10" spans="2:3" x14ac:dyDescent="0.35">
      <c r="B10" s="43" t="s">
        <v>298</v>
      </c>
      <c r="C10" s="4" t="inlineStr">
        <is>
          <t>Rp billions unless otherwise noted; share price entered as Rp thousands per share so market capitalization computes in Rp billions.</t>
        </is>
      </c>
    </row>
    <row r="11" spans="2:3" x14ac:dyDescent="0.35">
      <c r="B11" s="43" t="s">
        <v>299</v>
      </c>
      <c r="C11" s="4" t="inlineStr">
        <is>
          <t>Effective FY2025 consolidated tax rate: Rp6,644 / Rp31,102 = 21.36%</t>
        </is>
      </c>
    </row>
    <row r="12" spans="2:3" x14ac:dyDescent="0.35">
      <c r="B12" s="43" t="s">
        <v>301</v>
      </c>
      <c r="C12" s="4" t="inlineStr">
        <is>
          <t>9.56% WACC from valueinvesting.io TLKM.JK WACC estimate, accessed 2026-05-23.</t>
        </is>
      </c>
    </row>
    <row r="13" spans="2:3" x14ac:dyDescent="0.35">
      <c r="B13" s="43" t="s">
        <v>303</v>
      </c>
      <c r="C13" s="4" t="inlineStr">
        <is>
          <t>Rp3,480 IDX close on December 30, 2025; entered as 3.480 Rp thousands for model unit consistency.</t>
        </is>
      </c>
    </row>
    <row r="14" spans="2:3" x14ac:dyDescent="0.35">
      <c r="B14" s="43" t="s">
        <v>305</v>
      </c>
      <c r="C14" s="4" t="inlineStr">
        <is>
          <t>99,061.024659 million weighted-average shares outstanding from FY2025 audited Note 28.</t>
        </is>
      </c>
    </row>
    <row r="16" spans="2:3" x14ac:dyDescent="0.35">
      <c r="B16" s="43" t="s">
        <v>307</v>
      </c>
      <c r="C16" s="4" t="s">
        <v>308</v>
      </c>
    </row>
    <row r="17" spans="2:3" ht="29" customHeight="1" x14ac:dyDescent="0.35">
      <c r="B17" s="43" t="s">
        <v>309</v>
      </c>
      <c r="C17" s="4" t="s">
        <v>310</v>
      </c>
    </row>
    <row r="18" spans="2:3" ht="29" customHeight="1" x14ac:dyDescent="0.35">
      <c r="B18" s="43" t="s">
        <v>311</v>
      </c>
      <c r="C18" s="4" t="s">
        <v>312</v>
      </c>
    </row>
    <row r="19" spans="2:3" ht="29" customHeight="1" x14ac:dyDescent="0.35">
      <c r="B19" s="43" t="s">
        <v>313</v>
      </c>
      <c r="C19" s="4" t="s">
        <v>314</v>
      </c>
    </row>
    <row r="20" spans="2:3" ht="29" customHeight="1" x14ac:dyDescent="0.35">
      <c r="B20" s="43" t="s">
        <v>315</v>
      </c>
      <c r="C20" s="4" t="inlineStr">
        <is>
          <t>Codex used as workbook assistant for extracting/checking the local official 10-K PDF, template mapping, formula fill, source notes, and validation. Financial values are from the official TLKM10k.pdf and market/WACC assumptions noted above.</t>
        </is>
      </c>
    </row>
    <row r="22" spans="2:3" x14ac:dyDescent="0.35">
      <c r="B22" s="43" t="s">
        <v>317</v>
      </c>
    </row>
    <row r="23" spans="2:3" ht="32" customHeight="1" x14ac:dyDescent="0.35">
      <c r="B23" s="43" t="s">
        <v>318</v>
      </c>
      <c r="C23" s="4" t="s">
        <v>319</v>
      </c>
    </row>
    <row r="24" spans="2:3" ht="45" customHeight="1" x14ac:dyDescent="0.35">
      <c r="B24" s="43" t="s">
        <v>320</v>
      </c>
      <c r="C24" s="4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dcterms:created xsi:type="dcterms:W3CDTF">2026-04-24T19:43:19Z</dcterms:created>
  <dcterms:modified xsi:type="dcterms:W3CDTF">2026-05-09T23:47:38Z</dcterms:modified>
</cp:coreProperties>
</file>